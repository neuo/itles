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做题记录" sheetId="1" state="visible" r:id="rId3"/>
    <sheet name="周汇总" sheetId="2" state="visible" r:id="rId4"/>
    <sheet name="错因趋势" sheetId="3" state="visible" r:id="rId5"/>
    <sheet name="卡点词复习" sheetId="4" state="visible" r:id="rId6"/>
    <sheet name="使用说明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<sst xmlns="http://schemas.openxmlformats.org/spreadsheetml/2006/main" count="105" uniqueCount="88">
  <si>
    <t xml:space="preserve">日期</t>
  </si>
  <si>
    <t xml:space="preserve">周次</t>
  </si>
  <si>
    <t xml:space="preserve">材料</t>
  </si>
  <si>
    <t xml:space="preserve">Section</t>
  </si>
  <si>
    <t xml:space="preserve">得分</t>
  </si>
  <si>
    <t xml:space="preserve">满分</t>
  </si>
  <si>
    <t xml:space="preserve">正确率</t>
  </si>
  <si>
    <t xml:space="preserve">审题未划到</t>
  </si>
  <si>
    <t xml:space="preserve">同义替换</t>
  </si>
  <si>
    <t xml:space="preserve">语速漏听</t>
  </si>
  <si>
    <t xml:space="preserve">拼写错误</t>
  </si>
  <si>
    <t xml:space="preserve">审题失误</t>
  </si>
  <si>
    <t xml:space="preserve">走神</t>
  </si>
  <si>
    <t xml:space="preserve">备注</t>
  </si>
  <si>
    <t xml:space="preserve">2026/4/6</t>
  </si>
  <si>
    <r>
      <rPr>
        <sz val="11"/>
        <rFont val="DejaVu Sans"/>
        <family val="2"/>
      </rPr>
      <t xml:space="preserve">剑</t>
    </r>
    <r>
      <rPr>
        <sz val="11"/>
        <rFont val="Arial"/>
        <family val="0"/>
        <charset val="1"/>
      </rPr>
      <t xml:space="preserve">14 Test1</t>
    </r>
  </si>
  <si>
    <t xml:space="preserve">S1</t>
  </si>
  <si>
    <t xml:space="preserve">审题预判后提升明显</t>
  </si>
  <si>
    <t xml:space="preserve">日期范围</t>
  </si>
  <si>
    <r>
      <rPr>
        <b val="true"/>
        <sz val="11"/>
        <color rgb="FFFFFFFF"/>
        <rFont val="Arial"/>
        <family val="0"/>
        <charset val="1"/>
      </rPr>
      <t xml:space="preserve">S1</t>
    </r>
    <r>
      <rPr>
        <b val="true"/>
        <sz val="11"/>
        <color rgb="FFFFFFFF"/>
        <rFont val="DejaVu Sans"/>
        <family val="2"/>
      </rPr>
      <t xml:space="preserve">平均</t>
    </r>
  </si>
  <si>
    <r>
      <rPr>
        <b val="true"/>
        <sz val="11"/>
        <color rgb="FFFFFFFF"/>
        <rFont val="Arial"/>
        <family val="0"/>
        <charset val="1"/>
      </rPr>
      <t xml:space="preserve">S2</t>
    </r>
    <r>
      <rPr>
        <b val="true"/>
        <sz val="11"/>
        <color rgb="FFFFFFFF"/>
        <rFont val="DejaVu Sans"/>
        <family val="2"/>
      </rPr>
      <t xml:space="preserve">平均</t>
    </r>
  </si>
  <si>
    <r>
      <rPr>
        <b val="true"/>
        <sz val="11"/>
        <color rgb="FFFFFFFF"/>
        <rFont val="Arial"/>
        <family val="0"/>
        <charset val="1"/>
      </rPr>
      <t xml:space="preserve">S3</t>
    </r>
    <r>
      <rPr>
        <b val="true"/>
        <sz val="11"/>
        <color rgb="FFFFFFFF"/>
        <rFont val="DejaVu Sans"/>
        <family val="2"/>
      </rPr>
      <t xml:space="preserve">平均</t>
    </r>
  </si>
  <si>
    <r>
      <rPr>
        <b val="true"/>
        <sz val="11"/>
        <color rgb="FFFFFFFF"/>
        <rFont val="Arial"/>
        <family val="0"/>
        <charset val="1"/>
      </rPr>
      <t xml:space="preserve">S4</t>
    </r>
    <r>
      <rPr>
        <b val="true"/>
        <sz val="11"/>
        <color rgb="FFFFFFFF"/>
        <rFont val="DejaVu Sans"/>
        <family val="2"/>
      </rPr>
      <t xml:space="preserve">平均</t>
    </r>
  </si>
  <si>
    <t xml:space="preserve">套题总分</t>
  </si>
  <si>
    <t xml:space="preserve">目标分</t>
  </si>
  <si>
    <t xml:space="preserve">是否达标</t>
  </si>
  <si>
    <t xml:space="preserve">同义替换积累</t>
  </si>
  <si>
    <t xml:space="preserve">精听段数</t>
  </si>
  <si>
    <t xml:space="preserve">本周主要错因</t>
  </si>
  <si>
    <t xml:space="preserve">下周重点</t>
  </si>
  <si>
    <t xml:space="preserve">4/6-4/12</t>
  </si>
  <si>
    <t xml:space="preserve">4/13-4/19</t>
  </si>
  <si>
    <t xml:space="preserve">4/20-4/26</t>
  </si>
  <si>
    <t xml:space="preserve">4/27-5/3</t>
  </si>
  <si>
    <t xml:space="preserve">5/4-5/10</t>
  </si>
  <si>
    <t xml:space="preserve">5/11-5/17</t>
  </si>
  <si>
    <t xml:space="preserve">5/18-5/24</t>
  </si>
  <si>
    <t xml:space="preserve">5/25-5/31</t>
  </si>
  <si>
    <t xml:space="preserve">6/1-6/7</t>
  </si>
  <si>
    <t xml:space="preserve">6/8-6/14</t>
  </si>
  <si>
    <t xml:space="preserve">总错题数</t>
  </si>
  <si>
    <t xml:space="preserve">最主要错因</t>
  </si>
  <si>
    <r>
      <rPr>
        <b val="true"/>
        <sz val="11"/>
        <color rgb="FFFFFFFF"/>
        <rFont val="DejaVu Sans"/>
        <family val="2"/>
      </rPr>
      <t xml:space="preserve">卡点词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短语</t>
    </r>
  </si>
  <si>
    <t xml:space="preserve">出处</t>
  </si>
  <si>
    <t xml:space="preserve">所在句子</t>
  </si>
  <si>
    <t xml:space="preserve">卡住原因</t>
  </si>
  <si>
    <t xml:space="preserve">首次发现</t>
  </si>
  <si>
    <r>
      <rPr>
        <b val="true"/>
        <sz val="11"/>
        <color rgb="FFFFFFFF"/>
        <rFont val="Arial"/>
        <family val="0"/>
        <charset val="1"/>
      </rPr>
      <t xml:space="preserve">D+1</t>
    </r>
    <r>
      <rPr>
        <b val="true"/>
        <sz val="11"/>
        <color rgb="FFFFFFFF"/>
        <rFont val="DejaVu Sans"/>
        <family val="2"/>
      </rPr>
      <t xml:space="preserve">复习</t>
    </r>
  </si>
  <si>
    <r>
      <rPr>
        <b val="true"/>
        <sz val="11"/>
        <color rgb="FFFFFFFF"/>
        <rFont val="Arial"/>
        <family val="0"/>
        <charset val="1"/>
      </rPr>
      <t xml:space="preserve">D+7</t>
    </r>
    <r>
      <rPr>
        <b val="true"/>
        <sz val="11"/>
        <color rgb="FFFFFFFF"/>
        <rFont val="DejaVu Sans"/>
        <family val="2"/>
      </rPr>
      <t xml:space="preserve">复习</t>
    </r>
  </si>
  <si>
    <r>
      <rPr>
        <b val="true"/>
        <sz val="11"/>
        <color rgb="FFFFFFFF"/>
        <rFont val="Arial"/>
        <family val="0"/>
        <charset val="1"/>
      </rPr>
      <t xml:space="preserve">D+30</t>
    </r>
    <r>
      <rPr>
        <b val="true"/>
        <sz val="11"/>
        <color rgb="FFFFFFFF"/>
        <rFont val="DejaVu Sans"/>
        <family val="2"/>
      </rPr>
      <t xml:space="preserve">复习</t>
    </r>
  </si>
  <si>
    <t xml:space="preserve">状态</t>
  </si>
  <si>
    <t xml:space="preserve">keep-fit studio</t>
  </si>
  <si>
    <r>
      <rPr>
        <sz val="10"/>
        <rFont val="DejaVu Sans"/>
        <family val="2"/>
      </rPr>
      <t xml:space="preserve">剑</t>
    </r>
    <r>
      <rPr>
        <sz val="10"/>
        <rFont val="Arial"/>
        <family val="0"/>
        <charset val="1"/>
      </rPr>
      <t xml:space="preserve">6 T1 S1</t>
    </r>
  </si>
  <si>
    <t xml:space="preserve">We do have a keep-fit studio, which is very popular with members</t>
  </si>
  <si>
    <t xml:space="preserve">复合词不熟，大脑处理卡顿</t>
  </si>
  <si>
    <t xml:space="preserve">2026/4/3</t>
  </si>
  <si>
    <t xml:space="preserve">待复习</t>
  </si>
  <si>
    <t xml:space="preserve">vice versa</t>
  </si>
  <si>
    <t xml:space="preserve">They've got a lot of facilities we don't have and vice versa</t>
  </si>
  <si>
    <t xml:space="preserve">短语不熟，卡住后连带漏听下一句</t>
  </si>
  <si>
    <r>
      <rPr>
        <sz val="10"/>
        <rFont val="Arial"/>
        <family val="0"/>
        <charset val="1"/>
      </rPr>
      <t xml:space="preserve">of </t>
    </r>
    <r>
      <rPr>
        <sz val="10"/>
        <rFont val="DejaVu Sans"/>
        <family val="2"/>
      </rPr>
      <t xml:space="preserve">弱读 → </t>
    </r>
    <r>
      <rPr>
        <sz val="10"/>
        <rFont val="Arial"/>
        <family val="0"/>
        <charset val="1"/>
      </rPr>
      <t xml:space="preserve">/əv/</t>
    </r>
  </si>
  <si>
    <r>
      <rPr>
        <sz val="10"/>
        <rFont val="Arial"/>
        <family val="0"/>
        <charset val="1"/>
      </rPr>
      <t xml:space="preserve">there's swimming, of course (</t>
    </r>
    <r>
      <rPr>
        <sz val="10"/>
        <rFont val="DejaVu Sans"/>
        <family val="2"/>
      </rPr>
      <t xml:space="preserve">听成 </t>
    </r>
    <r>
      <rPr>
        <sz val="10"/>
        <rFont val="Arial"/>
        <family val="0"/>
        <charset val="1"/>
      </rPr>
      <t xml:space="preserve">swimming courts)</t>
    </r>
  </si>
  <si>
    <r>
      <rPr>
        <sz val="10"/>
        <rFont val="DejaVu Sans"/>
        <family val="2"/>
      </rPr>
      <t xml:space="preserve">弱读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语境脑补：</t>
    </r>
    <r>
      <rPr>
        <sz val="10"/>
        <rFont val="Arial"/>
        <family val="0"/>
        <charset val="1"/>
      </rPr>
      <t xml:space="preserve">of course → courts</t>
    </r>
  </si>
  <si>
    <t xml:space="preserve">as well as that</t>
  </si>
  <si>
    <t xml:space="preserve">and then as well as that there's swimming, of course</t>
  </si>
  <si>
    <t xml:space="preserve">口语连接词不熟，没能拆分</t>
  </si>
  <si>
    <r>
      <rPr>
        <b val="true"/>
        <sz val="14"/>
        <rFont val="DejaVu Sans"/>
        <family val="2"/>
      </rPr>
      <t xml:space="preserve">📋 听力练习记录表 </t>
    </r>
    <r>
      <rPr>
        <b val="true"/>
        <sz val="14"/>
        <rFont val="Arial"/>
        <family val="0"/>
        <charset val="1"/>
      </rPr>
      <t xml:space="preserve">- </t>
    </r>
    <r>
      <rPr>
        <b val="true"/>
        <sz val="14"/>
        <rFont val="DejaVu Sans"/>
        <family val="2"/>
      </rPr>
      <t xml:space="preserve">使用说明</t>
    </r>
  </si>
  <si>
    <r>
      <rPr>
        <b val="true"/>
        <sz val="11"/>
        <color rgb="FF4472C4"/>
        <rFont val="DejaVu Sans"/>
        <family val="2"/>
      </rPr>
      <t xml:space="preserve">【做题记录 </t>
    </r>
    <r>
      <rPr>
        <b val="true"/>
        <sz val="11"/>
        <color rgb="FF4472C4"/>
        <rFont val="Arial"/>
        <family val="0"/>
        <charset val="1"/>
      </rPr>
      <t xml:space="preserve">Sheet</t>
    </r>
    <r>
      <rPr>
        <b val="true"/>
        <sz val="11"/>
        <color rgb="FF4472C4"/>
        <rFont val="DejaVu Sans"/>
        <family val="2"/>
      </rPr>
      <t xml:space="preserve">】</t>
    </r>
  </si>
  <si>
    <r>
      <rPr>
        <sz val="11"/>
        <rFont val="DejaVu Sans"/>
        <family val="2"/>
      </rPr>
      <t xml:space="preserve">每次做完听力真题后填写一行。关键是</t>
    </r>
    <r>
      <rPr>
        <sz val="11"/>
        <rFont val="Arial"/>
        <family val="0"/>
        <charset val="1"/>
      </rPr>
      <t xml:space="preserve">"</t>
    </r>
    <r>
      <rPr>
        <sz val="11"/>
        <rFont val="DejaVu Sans"/>
        <family val="2"/>
      </rPr>
      <t xml:space="preserve">错因分类</t>
    </r>
    <r>
      <rPr>
        <sz val="11"/>
        <rFont val="Arial"/>
        <family val="0"/>
        <charset val="1"/>
      </rPr>
      <t xml:space="preserve">"</t>
    </r>
    <r>
      <rPr>
        <sz val="11"/>
        <rFont val="DejaVu Sans"/>
        <family val="2"/>
      </rPr>
      <t xml:space="preserve">那几列——统计你的分丢在哪里比分数本身更重要。</t>
    </r>
  </si>
  <si>
    <r>
      <rPr>
        <sz val="11"/>
        <rFont val="DejaVu Sans"/>
        <family val="2"/>
      </rPr>
      <t xml:space="preserve">正确率会自动计算。每周末把数据汇总到</t>
    </r>
    <r>
      <rPr>
        <sz val="11"/>
        <rFont val="Arial"/>
        <family val="0"/>
        <charset val="1"/>
      </rPr>
      <t xml:space="preserve">"</t>
    </r>
    <r>
      <rPr>
        <sz val="11"/>
        <rFont val="DejaVu Sans"/>
        <family val="2"/>
      </rPr>
      <t xml:space="preserve">周汇总</t>
    </r>
    <r>
      <rPr>
        <sz val="11"/>
        <rFont val="Arial"/>
        <family val="0"/>
        <charset val="1"/>
      </rPr>
      <t xml:space="preserve">"sheet</t>
    </r>
    <r>
      <rPr>
        <sz val="11"/>
        <rFont val="DejaVu Sans"/>
        <family val="2"/>
      </rPr>
      <t xml:space="preserve">。</t>
    </r>
  </si>
  <si>
    <r>
      <rPr>
        <b val="true"/>
        <sz val="11"/>
        <color rgb="FF4472C4"/>
        <rFont val="DejaVu Sans"/>
        <family val="2"/>
      </rPr>
      <t xml:space="preserve">【周汇总 </t>
    </r>
    <r>
      <rPr>
        <b val="true"/>
        <sz val="11"/>
        <color rgb="FF4472C4"/>
        <rFont val="Arial"/>
        <family val="0"/>
        <charset val="1"/>
      </rPr>
      <t xml:space="preserve">Sheet</t>
    </r>
    <r>
      <rPr>
        <b val="true"/>
        <sz val="11"/>
        <color rgb="FF4472C4"/>
        <rFont val="DejaVu Sans"/>
        <family val="2"/>
      </rPr>
      <t xml:space="preserve">】</t>
    </r>
  </si>
  <si>
    <t xml:space="preserve">每周六验收时填写。对比目标分看自己是否达标。</t>
  </si>
  <si>
    <r>
      <rPr>
        <sz val="11"/>
        <rFont val="DejaVu Sans"/>
        <family val="2"/>
      </rPr>
      <t xml:space="preserve">同义替换积累数量从 </t>
    </r>
    <r>
      <rPr>
        <sz val="11"/>
        <rFont val="Arial"/>
        <family val="0"/>
        <charset val="1"/>
      </rPr>
      <t xml:space="preserve">ielts_synonym_bank.xlsx </t>
    </r>
    <r>
      <rPr>
        <sz val="11"/>
        <rFont val="DejaVu Sans"/>
        <family val="2"/>
      </rPr>
      <t xml:space="preserve">统计。</t>
    </r>
  </si>
  <si>
    <r>
      <rPr>
        <b val="true"/>
        <sz val="11"/>
        <color rgb="FF4472C4"/>
        <rFont val="DejaVu Sans"/>
        <family val="2"/>
      </rPr>
      <t xml:space="preserve">【错因趋势 </t>
    </r>
    <r>
      <rPr>
        <b val="true"/>
        <sz val="11"/>
        <color rgb="FF4472C4"/>
        <rFont val="Arial"/>
        <family val="0"/>
        <charset val="1"/>
      </rPr>
      <t xml:space="preserve">Sheet</t>
    </r>
    <r>
      <rPr>
        <b val="true"/>
        <sz val="11"/>
        <color rgb="FF4472C4"/>
        <rFont val="DejaVu Sans"/>
        <family val="2"/>
      </rPr>
      <t xml:space="preserve">】</t>
    </r>
  </si>
  <si>
    <r>
      <rPr>
        <sz val="11"/>
        <rFont val="DejaVu Sans"/>
        <family val="2"/>
      </rPr>
      <t xml:space="preserve">把每周的错因汇总填在这里，可以看到</t>
    </r>
    <r>
      <rPr>
        <sz val="11"/>
        <rFont val="Arial"/>
        <family val="0"/>
        <charset val="1"/>
      </rPr>
      <t xml:space="preserve">10</t>
    </r>
    <r>
      <rPr>
        <sz val="11"/>
        <rFont val="DejaVu Sans"/>
        <family val="2"/>
      </rPr>
      <t xml:space="preserve">周内错因的变化趋势。</t>
    </r>
  </si>
  <si>
    <r>
      <rPr>
        <sz val="11"/>
        <rFont val="DejaVu Sans"/>
        <family val="2"/>
      </rPr>
      <t xml:space="preserve">理想状态：</t>
    </r>
    <r>
      <rPr>
        <sz val="11"/>
        <rFont val="Arial"/>
        <family val="0"/>
        <charset val="1"/>
      </rPr>
      <t xml:space="preserve">"</t>
    </r>
    <r>
      <rPr>
        <sz val="11"/>
        <rFont val="DejaVu Sans"/>
        <family val="2"/>
      </rPr>
      <t xml:space="preserve">审题未划到</t>
    </r>
    <r>
      <rPr>
        <sz val="11"/>
        <rFont val="Arial"/>
        <family val="0"/>
        <charset val="1"/>
      </rPr>
      <t xml:space="preserve">"</t>
    </r>
    <r>
      <rPr>
        <sz val="11"/>
        <rFont val="DejaVu Sans"/>
        <family val="2"/>
      </rPr>
      <t xml:space="preserve">和</t>
    </r>
    <r>
      <rPr>
        <sz val="11"/>
        <rFont val="Arial"/>
        <family val="0"/>
        <charset val="1"/>
      </rPr>
      <t xml:space="preserve">"</t>
    </r>
    <r>
      <rPr>
        <sz val="11"/>
        <rFont val="DejaVu Sans"/>
        <family val="2"/>
      </rPr>
      <t xml:space="preserve">同义替换</t>
    </r>
    <r>
      <rPr>
        <sz val="11"/>
        <rFont val="Arial"/>
        <family val="0"/>
        <charset val="1"/>
      </rPr>
      <t xml:space="preserve">"</t>
    </r>
    <r>
      <rPr>
        <sz val="11"/>
        <rFont val="DejaVu Sans"/>
        <family val="2"/>
      </rPr>
      <t xml:space="preserve">占比逐周下降。</t>
    </r>
  </si>
  <si>
    <t xml:space="preserve">【填写技巧】</t>
  </si>
  <si>
    <r>
      <rPr>
        <sz val="11"/>
        <rFont val="Arial"/>
        <family val="0"/>
        <charset val="1"/>
      </rPr>
      <t xml:space="preserve">- </t>
    </r>
    <r>
      <rPr>
        <sz val="11"/>
        <rFont val="DejaVu Sans"/>
        <family val="2"/>
      </rPr>
      <t xml:space="preserve">材料格式：剑</t>
    </r>
    <r>
      <rPr>
        <sz val="11"/>
        <rFont val="Arial"/>
        <family val="0"/>
        <charset val="1"/>
      </rPr>
      <t xml:space="preserve">X TestY</t>
    </r>
    <r>
      <rPr>
        <sz val="11"/>
        <rFont val="DejaVu Sans"/>
        <family val="2"/>
      </rPr>
      <t xml:space="preserve">，例如</t>
    </r>
    <r>
      <rPr>
        <sz val="11"/>
        <rFont val="Arial"/>
        <family val="0"/>
        <charset val="1"/>
      </rPr>
      <t xml:space="preserve">"</t>
    </r>
    <r>
      <rPr>
        <sz val="11"/>
        <rFont val="DejaVu Sans"/>
        <family val="2"/>
      </rPr>
      <t xml:space="preserve">剑</t>
    </r>
    <r>
      <rPr>
        <sz val="11"/>
        <rFont val="Arial"/>
        <family val="0"/>
        <charset val="1"/>
      </rPr>
      <t xml:space="preserve">14 Test1"</t>
    </r>
  </si>
  <si>
    <r>
      <rPr>
        <sz val="11"/>
        <rFont val="Arial"/>
        <family val="0"/>
        <charset val="1"/>
      </rPr>
      <t xml:space="preserve">- Section</t>
    </r>
    <r>
      <rPr>
        <sz val="11"/>
        <rFont val="DejaVu Sans"/>
        <family val="2"/>
      </rPr>
      <t xml:space="preserve">：</t>
    </r>
    <r>
      <rPr>
        <sz val="11"/>
        <rFont val="Arial"/>
        <family val="0"/>
        <charset val="1"/>
      </rPr>
      <t xml:space="preserve">S1 / S2 / S3 / S4</t>
    </r>
  </si>
  <si>
    <r>
      <rPr>
        <sz val="11"/>
        <rFont val="Arial"/>
        <family val="0"/>
        <charset val="1"/>
      </rPr>
      <t xml:space="preserve">- </t>
    </r>
    <r>
      <rPr>
        <sz val="11"/>
        <rFont val="DejaVu Sans"/>
        <family val="2"/>
      </rPr>
      <t xml:space="preserve">错因可以重叠——一道题可能同时有</t>
    </r>
    <r>
      <rPr>
        <sz val="11"/>
        <rFont val="Arial"/>
        <family val="0"/>
        <charset val="1"/>
      </rPr>
      <t xml:space="preserve">"</t>
    </r>
    <r>
      <rPr>
        <sz val="11"/>
        <rFont val="DejaVu Sans"/>
        <family val="2"/>
      </rPr>
      <t xml:space="preserve">同义替换</t>
    </r>
    <r>
      <rPr>
        <sz val="11"/>
        <rFont val="Arial"/>
        <family val="0"/>
        <charset val="1"/>
      </rPr>
      <t xml:space="preserve">"</t>
    </r>
    <r>
      <rPr>
        <sz val="11"/>
        <rFont val="DejaVu Sans"/>
        <family val="2"/>
      </rPr>
      <t xml:space="preserve">和</t>
    </r>
    <r>
      <rPr>
        <sz val="11"/>
        <rFont val="Arial"/>
        <family val="0"/>
        <charset val="1"/>
      </rPr>
      <t xml:space="preserve">"</t>
    </r>
    <r>
      <rPr>
        <sz val="11"/>
        <rFont val="DejaVu Sans"/>
        <family val="2"/>
      </rPr>
      <t xml:space="preserve">语速漏听</t>
    </r>
    <r>
      <rPr>
        <sz val="11"/>
        <rFont val="Arial"/>
        <family val="0"/>
        <charset val="1"/>
      </rPr>
      <t xml:space="preserve">"</t>
    </r>
    <r>
      <rPr>
        <sz val="11"/>
        <rFont val="DejaVu Sans"/>
        <family val="2"/>
      </rPr>
      <t xml:space="preserve">两个原因</t>
    </r>
  </si>
  <si>
    <r>
      <rPr>
        <sz val="11"/>
        <rFont val="Arial"/>
        <family val="0"/>
        <charset val="1"/>
      </rPr>
      <t xml:space="preserve">- </t>
    </r>
    <r>
      <rPr>
        <sz val="11"/>
        <rFont val="DejaVu Sans"/>
        <family val="2"/>
      </rPr>
      <t xml:space="preserve">备注写当天最大的感受或发现，方便回顾</t>
    </r>
  </si>
  <si>
    <r>
      <rPr>
        <sz val="10"/>
        <rFont val="DejaVu Sans"/>
        <family val="2"/>
      </rPr>
      <t xml:space="preserve">【卡点词复习 </t>
    </r>
    <r>
      <rPr>
        <sz val="10"/>
        <rFont val="Arial"/>
        <family val="0"/>
        <charset val="1"/>
      </rPr>
      <t xml:space="preserve">Sheet</t>
    </r>
    <r>
      <rPr>
        <sz val="10"/>
        <rFont val="DejaVu Sans"/>
        <family val="2"/>
      </rPr>
      <t xml:space="preserve">】</t>
    </r>
  </si>
  <si>
    <t xml:space="preserve">精听时标🔴的词记到这里。关键不是记录，是按间隔复习节奏消化它们：</t>
  </si>
  <si>
    <r>
      <rPr>
        <sz val="10"/>
        <rFont val="Arial"/>
        <family val="0"/>
        <charset val="1"/>
      </rPr>
      <t xml:space="preserve">  D+1</t>
    </r>
    <r>
      <rPr>
        <sz val="10"/>
        <rFont val="DejaVu Sans"/>
        <family val="2"/>
      </rPr>
      <t xml:space="preserve">：第二天做新题前重听卡点句（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分钟），听出来了就在</t>
    </r>
    <r>
      <rPr>
        <sz val="10"/>
        <rFont val="Arial"/>
        <family val="0"/>
        <charset val="1"/>
      </rPr>
      <t xml:space="preserve">D+1</t>
    </r>
    <r>
      <rPr>
        <sz val="10"/>
        <rFont val="DejaVu Sans"/>
        <family val="2"/>
      </rPr>
      <t xml:space="preserve">列打日期</t>
    </r>
  </si>
  <si>
    <r>
      <rPr>
        <sz val="10"/>
        <rFont val="Arial"/>
        <family val="0"/>
        <charset val="1"/>
      </rPr>
      <t xml:space="preserve">  D+7</t>
    </r>
    <r>
      <rPr>
        <sz val="10"/>
        <rFont val="DejaVu Sans"/>
        <family val="2"/>
      </rPr>
      <t xml:space="preserve">：一周后统一重听本周卡点（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分钟），听出来了打日期</t>
    </r>
  </si>
  <si>
    <r>
      <rPr>
        <sz val="10"/>
        <rFont val="Arial"/>
        <family val="0"/>
        <charset val="1"/>
      </rPr>
      <t xml:space="preserve">  D+30</t>
    </r>
    <r>
      <rPr>
        <sz val="10"/>
        <rFont val="DejaVu Sans"/>
        <family val="2"/>
      </rPr>
      <t xml:space="preserve">：月底回顾，还听不出的改状态为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顽固卡点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，加入每日复习</t>
    </r>
  </si>
  <si>
    <r>
      <rPr>
        <sz val="10"/>
        <rFont val="Arial"/>
        <family val="0"/>
        <charset val="1"/>
      </rPr>
      <t xml:space="preserve">  "</t>
    </r>
    <r>
      <rPr>
        <sz val="10"/>
        <rFont val="DejaVu Sans"/>
        <family val="2"/>
      </rPr>
      <t xml:space="preserve">卡住原因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列有下拉菜单可选：弱读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连读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吞音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生词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复合词不熟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短语不熟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脑补错误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语速太快</t>
    </r>
  </si>
  <si>
    <r>
      <rPr>
        <sz val="10"/>
        <rFont val="Arial"/>
        <family val="0"/>
        <charset val="1"/>
      </rPr>
      <t xml:space="preserve">  "</t>
    </r>
    <r>
      <rPr>
        <sz val="10"/>
        <rFont val="DejaVu Sans"/>
        <family val="2"/>
      </rPr>
      <t xml:space="preserve">状态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列可选：待复习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已复习</t>
    </r>
    <r>
      <rPr>
        <sz val="10"/>
        <rFont val="Arial"/>
        <family val="0"/>
        <charset val="1"/>
      </rPr>
      <t xml:space="preserve">D+1/</t>
    </r>
    <r>
      <rPr>
        <sz val="10"/>
        <rFont val="DejaVu Sans"/>
        <family val="2"/>
      </rPr>
      <t xml:space="preserve">已复习</t>
    </r>
    <r>
      <rPr>
        <sz val="10"/>
        <rFont val="Arial"/>
        <family val="0"/>
        <charset val="1"/>
      </rPr>
      <t xml:space="preserve">D+7/</t>
    </r>
    <r>
      <rPr>
        <sz val="10"/>
        <rFont val="DejaVu Sans"/>
        <family val="2"/>
      </rPr>
      <t xml:space="preserve">已复习</t>
    </r>
    <r>
      <rPr>
        <sz val="10"/>
        <rFont val="Arial"/>
        <family val="0"/>
        <charset val="1"/>
      </rPr>
      <t xml:space="preserve">D+30/</t>
    </r>
    <r>
      <rPr>
        <sz val="10"/>
        <rFont val="DejaVu Sans"/>
        <family val="2"/>
      </rPr>
      <t xml:space="preserve">已消化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顽固卡点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</si>
</sst>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4"/>
      <name val="DejaVu Sans"/>
      <family val="2"/>
    </font>
    <font>
      <b val="true"/>
      <sz val="14"/>
      <name val="Arial"/>
      <family val="0"/>
      <charset val="1"/>
    </font>
    <font>
      <b val="true"/>
      <sz val="11"/>
      <color rgb="FF4472C4"/>
      <name val="DejaVu Sans"/>
      <family val="2"/>
    </font>
    <font>
      <b val="true"/>
      <sz val="11"/>
      <color rgb="FF4472C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6" min="5" style="0" width="6"/>
    <col collapsed="false" customWidth="true" hidden="false" outlineLevel="0" max="7" min="7" style="0" width="8"/>
    <col collapsed="false" customWidth="true" hidden="false" outlineLevel="0" max="12" min="8" style="0" width="12"/>
    <col collapsed="false" customWidth="true" hidden="false" outlineLevel="0" max="13" min="13" style="0" width="6"/>
    <col collapsed="false" customWidth="true" hidden="false" outlineLevel="0" max="14" min="14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3" t="s">
        <v>14</v>
      </c>
      <c r="B2" s="3" t="n">
        <v>1</v>
      </c>
      <c r="C2" s="4" t="s">
        <v>15</v>
      </c>
      <c r="D2" s="3" t="s">
        <v>16</v>
      </c>
      <c r="E2" s="3" t="n">
        <v>7</v>
      </c>
      <c r="F2" s="3" t="n">
        <v>10</v>
      </c>
      <c r="G2" s="5" t="n">
        <f aca="false">E2/F2</f>
        <v>0.7</v>
      </c>
      <c r="H2" s="3" t="n">
        <v>1</v>
      </c>
      <c r="I2" s="3" t="n">
        <v>1</v>
      </c>
      <c r="J2" s="3" t="n">
        <v>0</v>
      </c>
      <c r="K2" s="3" t="n">
        <v>1</v>
      </c>
      <c r="L2" s="3" t="n">
        <v>0</v>
      </c>
      <c r="M2" s="3" t="n">
        <v>0</v>
      </c>
      <c r="N2" s="6" t="s">
        <v>17</v>
      </c>
    </row>
    <row r="3" customFormat="false" ht="15" hidden="false" customHeight="false" outlineLevel="0" collapsed="false">
      <c r="G3" s="7" t="str">
        <f aca="false">IF(E3="","",E3/F3)</f>
        <v/>
      </c>
    </row>
    <row r="4" customFormat="false" ht="15" hidden="false" customHeight="false" outlineLevel="0" collapsed="false">
      <c r="G4" s="7" t="str">
        <f aca="false">IF(E4="","",E4/F4)</f>
        <v/>
      </c>
    </row>
    <row r="5" customFormat="false" ht="15" hidden="false" customHeight="false" outlineLevel="0" collapsed="false">
      <c r="G5" s="7" t="str">
        <f aca="false">IF(E5="","",E5/F5)</f>
        <v/>
      </c>
    </row>
    <row r="6" customFormat="false" ht="15" hidden="false" customHeight="false" outlineLevel="0" collapsed="false">
      <c r="G6" s="7" t="str">
        <f aca="false">IF(E6="","",E6/F6)</f>
        <v/>
      </c>
    </row>
    <row r="7" customFormat="false" ht="15" hidden="false" customHeight="false" outlineLevel="0" collapsed="false">
      <c r="G7" s="7" t="str">
        <f aca="false">IF(E7="","",E7/F7)</f>
        <v/>
      </c>
    </row>
    <row r="8" customFormat="false" ht="15" hidden="false" customHeight="false" outlineLevel="0" collapsed="false">
      <c r="G8" s="7" t="str">
        <f aca="false">IF(E8="","",E8/F8)</f>
        <v/>
      </c>
    </row>
    <row r="9" customFormat="false" ht="15" hidden="false" customHeight="false" outlineLevel="0" collapsed="false">
      <c r="G9" s="7" t="str">
        <f aca="false">IF(E9="","",E9/F9)</f>
        <v/>
      </c>
    </row>
    <row r="10" customFormat="false" ht="15" hidden="false" customHeight="false" outlineLevel="0" collapsed="false">
      <c r="G10" s="7" t="str">
        <f aca="false">IF(E10="","",E10/F10)</f>
        <v/>
      </c>
    </row>
    <row r="11" customFormat="false" ht="15" hidden="false" customHeight="false" outlineLevel="0" collapsed="false">
      <c r="G11" s="7" t="str">
        <f aca="false">IF(E11="","",E11/F11)</f>
        <v/>
      </c>
    </row>
    <row r="12" customFormat="false" ht="15" hidden="false" customHeight="false" outlineLevel="0" collapsed="false">
      <c r="G12" s="7" t="str">
        <f aca="false">IF(E12="","",E12/F12)</f>
        <v/>
      </c>
    </row>
    <row r="13" customFormat="false" ht="15" hidden="false" customHeight="false" outlineLevel="0" collapsed="false">
      <c r="G13" s="7" t="str">
        <f aca="false">IF(E13="","",E13/F13)</f>
        <v/>
      </c>
    </row>
    <row r="14" customFormat="false" ht="15" hidden="false" customHeight="false" outlineLevel="0" collapsed="false">
      <c r="G14" s="7" t="str">
        <f aca="false">IF(E14="","",E14/F14)</f>
        <v/>
      </c>
    </row>
    <row r="15" customFormat="false" ht="15" hidden="false" customHeight="false" outlineLevel="0" collapsed="false">
      <c r="G15" s="7" t="str">
        <f aca="false">IF(E15="","",E15/F15)</f>
        <v/>
      </c>
    </row>
    <row r="16" customFormat="false" ht="15" hidden="false" customHeight="false" outlineLevel="0" collapsed="false">
      <c r="G16" s="7" t="str">
        <f aca="false">IF(E16="","",E16/F16)</f>
        <v/>
      </c>
    </row>
    <row r="17" customFormat="false" ht="15" hidden="false" customHeight="false" outlineLevel="0" collapsed="false">
      <c r="G17" s="7" t="str">
        <f aca="false">IF(E17="","",E17/F17)</f>
        <v/>
      </c>
    </row>
    <row r="18" customFormat="false" ht="15" hidden="false" customHeight="false" outlineLevel="0" collapsed="false">
      <c r="G18" s="7" t="str">
        <f aca="false">IF(E18="","",E18/F18)</f>
        <v/>
      </c>
    </row>
    <row r="19" customFormat="false" ht="15" hidden="false" customHeight="false" outlineLevel="0" collapsed="false">
      <c r="G19" s="7" t="str">
        <f aca="false">IF(E19="","",E19/F19)</f>
        <v/>
      </c>
    </row>
    <row r="20" customFormat="false" ht="15" hidden="false" customHeight="false" outlineLevel="0" collapsed="false">
      <c r="G20" s="7" t="str">
        <f aca="false">IF(E20="","",E20/F20)</f>
        <v/>
      </c>
    </row>
    <row r="21" customFormat="false" ht="15" hidden="false" customHeight="false" outlineLevel="0" collapsed="false">
      <c r="G21" s="7" t="str">
        <f aca="false">IF(E21="","",E21/F21)</f>
        <v/>
      </c>
    </row>
    <row r="22" customFormat="false" ht="15" hidden="false" customHeight="false" outlineLevel="0" collapsed="false">
      <c r="G22" s="7" t="str">
        <f aca="false">IF(E22="","",E22/F22)</f>
        <v/>
      </c>
    </row>
    <row r="23" customFormat="false" ht="15" hidden="false" customHeight="false" outlineLevel="0" collapsed="false">
      <c r="G23" s="7" t="str">
        <f aca="false">IF(E23="","",E23/F23)</f>
        <v/>
      </c>
    </row>
    <row r="24" customFormat="false" ht="15" hidden="false" customHeight="false" outlineLevel="0" collapsed="false">
      <c r="G24" s="7" t="str">
        <f aca="false">IF(E24="","",E24/F24)</f>
        <v/>
      </c>
    </row>
    <row r="25" customFormat="false" ht="15" hidden="false" customHeight="false" outlineLevel="0" collapsed="false">
      <c r="G25" s="7" t="str">
        <f aca="false">IF(E25="","",E25/F25)</f>
        <v/>
      </c>
    </row>
    <row r="26" customFormat="false" ht="15" hidden="false" customHeight="false" outlineLevel="0" collapsed="false">
      <c r="G26" s="7" t="str">
        <f aca="false">IF(E26="","",E26/F26)</f>
        <v/>
      </c>
    </row>
    <row r="27" customFormat="false" ht="15" hidden="false" customHeight="false" outlineLevel="0" collapsed="false">
      <c r="G27" s="7" t="str">
        <f aca="false">IF(E27="","",E27/F27)</f>
        <v/>
      </c>
    </row>
    <row r="28" customFormat="false" ht="15" hidden="false" customHeight="false" outlineLevel="0" collapsed="false">
      <c r="G28" s="7" t="str">
        <f aca="false">IF(E28="","",E28/F28)</f>
        <v/>
      </c>
    </row>
    <row r="29" customFormat="false" ht="15" hidden="false" customHeight="false" outlineLevel="0" collapsed="false">
      <c r="G29" s="7" t="str">
        <f aca="false">IF(E29="","",E29/F29)</f>
        <v/>
      </c>
    </row>
    <row r="30" customFormat="false" ht="15" hidden="false" customHeight="false" outlineLevel="0" collapsed="false">
      <c r="G30" s="7" t="str">
        <f aca="false">IF(E30="","",E30/F30)</f>
        <v/>
      </c>
    </row>
    <row r="31" customFormat="false" ht="15" hidden="false" customHeight="false" outlineLevel="0" collapsed="false">
      <c r="G31" s="7" t="str">
        <f aca="false">IF(E31="","",E31/F31)</f>
        <v/>
      </c>
    </row>
    <row r="32" customFormat="false" ht="15" hidden="false" customHeight="false" outlineLevel="0" collapsed="false">
      <c r="G32" s="7" t="str">
        <f aca="false">IF(E32="","",E32/F32)</f>
        <v/>
      </c>
    </row>
    <row r="33" customFormat="false" ht="15" hidden="false" customHeight="false" outlineLevel="0" collapsed="false">
      <c r="G33" s="7" t="str">
        <f aca="false">IF(E33="","",E33/F33)</f>
        <v/>
      </c>
    </row>
    <row r="34" customFormat="false" ht="15" hidden="false" customHeight="false" outlineLevel="0" collapsed="false">
      <c r="G34" s="7" t="str">
        <f aca="false">IF(E34="","",E34/F34)</f>
        <v/>
      </c>
    </row>
    <row r="35" customFormat="false" ht="15" hidden="false" customHeight="false" outlineLevel="0" collapsed="false">
      <c r="G35" s="7" t="str">
        <f aca="false">IF(E35="","",E35/F35)</f>
        <v/>
      </c>
    </row>
    <row r="36" customFormat="false" ht="15" hidden="false" customHeight="false" outlineLevel="0" collapsed="false">
      <c r="G36" s="7" t="str">
        <f aca="false">IF(E36="","",E36/F36)</f>
        <v/>
      </c>
    </row>
    <row r="37" customFormat="false" ht="15" hidden="false" customHeight="false" outlineLevel="0" collapsed="false">
      <c r="G37" s="7" t="str">
        <f aca="false">IF(E37="","",E37/F37)</f>
        <v/>
      </c>
    </row>
    <row r="38" customFormat="false" ht="15" hidden="false" customHeight="false" outlineLevel="0" collapsed="false">
      <c r="G38" s="7" t="str">
        <f aca="false">IF(E38="","",E38/F38)</f>
        <v/>
      </c>
    </row>
    <row r="39" customFormat="false" ht="15" hidden="false" customHeight="false" outlineLevel="0" collapsed="false">
      <c r="G39" s="7" t="str">
        <f aca="false">IF(E39="","",E39/F39)</f>
        <v/>
      </c>
    </row>
    <row r="40" customFormat="false" ht="15" hidden="false" customHeight="false" outlineLevel="0" collapsed="false">
      <c r="G40" s="7" t="str">
        <f aca="false">IF(E40="","",E40/F40)</f>
        <v/>
      </c>
    </row>
    <row r="41" customFormat="false" ht="15" hidden="false" customHeight="false" outlineLevel="0" collapsed="false">
      <c r="G41" s="7" t="str">
        <f aca="false">IF(E41="","",E41/F41)</f>
        <v/>
      </c>
    </row>
    <row r="42" customFormat="false" ht="15" hidden="false" customHeight="false" outlineLevel="0" collapsed="false">
      <c r="G42" s="7" t="str">
        <f aca="false">IF(E42="","",E42/F42)</f>
        <v/>
      </c>
    </row>
    <row r="43" customFormat="false" ht="15" hidden="false" customHeight="false" outlineLevel="0" collapsed="false">
      <c r="G43" s="7" t="str">
        <f aca="false">IF(E43="","",E43/F43)</f>
        <v/>
      </c>
    </row>
    <row r="44" customFormat="false" ht="15" hidden="false" customHeight="false" outlineLevel="0" collapsed="false">
      <c r="G44" s="7" t="str">
        <f aca="false">IF(E44="","",E44/F44)</f>
        <v/>
      </c>
    </row>
    <row r="45" customFormat="false" ht="15" hidden="false" customHeight="false" outlineLevel="0" collapsed="false">
      <c r="G45" s="7" t="str">
        <f aca="false">IF(E45="","",E45/F45)</f>
        <v/>
      </c>
    </row>
    <row r="46" customFormat="false" ht="15" hidden="false" customHeight="false" outlineLevel="0" collapsed="false">
      <c r="G46" s="7" t="str">
        <f aca="false">IF(E46="","",E46/F46)</f>
        <v/>
      </c>
    </row>
    <row r="47" customFormat="false" ht="15" hidden="false" customHeight="false" outlineLevel="0" collapsed="false">
      <c r="G47" s="7" t="str">
        <f aca="false">IF(E47="","",E47/F47)</f>
        <v/>
      </c>
    </row>
    <row r="48" customFormat="false" ht="15" hidden="false" customHeight="false" outlineLevel="0" collapsed="false">
      <c r="G48" s="7" t="str">
        <f aca="false">IF(E48="","",E48/F48)</f>
        <v/>
      </c>
    </row>
    <row r="49" customFormat="false" ht="15" hidden="false" customHeight="false" outlineLevel="0" collapsed="false">
      <c r="G49" s="7" t="str">
        <f aca="false">IF(E49="","",E49/F49)</f>
        <v/>
      </c>
    </row>
    <row r="50" customFormat="false" ht="15" hidden="false" customHeight="false" outlineLevel="0" collapsed="false">
      <c r="G50" s="7" t="str">
        <f aca="false">IF(E50="","",E50/F50)</f>
        <v/>
      </c>
    </row>
    <row r="51" customFormat="false" ht="15" hidden="false" customHeight="false" outlineLevel="0" collapsed="false">
      <c r="G51" s="7" t="str">
        <f aca="false">IF(E51="","",E51/F51)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6" min="3" style="0" width="8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3" min="12" style="0" width="20"/>
  </cols>
  <sheetData>
    <row r="1" customFormat="false" ht="15" hidden="false" customHeight="false" outlineLevel="0" collapsed="false">
      <c r="A1" s="1" t="s">
        <v>1</v>
      </c>
      <c r="B1" s="1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customFormat="false" ht="15" hidden="false" customHeight="false" outlineLevel="0" collapsed="false">
      <c r="A2" s="3" t="n">
        <v>1</v>
      </c>
      <c r="B2" s="3" t="s">
        <v>30</v>
      </c>
      <c r="C2" s="3"/>
      <c r="D2" s="3"/>
      <c r="E2" s="3"/>
      <c r="F2" s="3"/>
      <c r="G2" s="3"/>
      <c r="H2" s="3" t="n">
        <v>5</v>
      </c>
      <c r="I2" s="3" t="str">
        <f aca="false">IF(G2="","",IF(G2&gt;=H2,"✓","✗"))</f>
        <v/>
      </c>
      <c r="J2" s="3" t="n">
        <v>15</v>
      </c>
      <c r="K2" s="3"/>
      <c r="L2" s="3"/>
      <c r="M2" s="6"/>
    </row>
    <row r="3" customFormat="false" ht="15" hidden="false" customHeight="false" outlineLevel="0" collapsed="false">
      <c r="A3" s="3" t="n">
        <v>2</v>
      </c>
      <c r="B3" s="3" t="s">
        <v>31</v>
      </c>
      <c r="C3" s="3"/>
      <c r="D3" s="3"/>
      <c r="E3" s="3"/>
      <c r="F3" s="3"/>
      <c r="G3" s="3"/>
      <c r="H3" s="3" t="n">
        <v>5.5</v>
      </c>
      <c r="I3" s="3" t="str">
        <f aca="false">IF(G3="","",IF(G3&gt;=H3,"✓","✗"))</f>
        <v/>
      </c>
      <c r="J3" s="3" t="n">
        <v>40</v>
      </c>
      <c r="K3" s="3"/>
      <c r="L3" s="3"/>
      <c r="M3" s="6"/>
    </row>
    <row r="4" customFormat="false" ht="15" hidden="false" customHeight="false" outlineLevel="0" collapsed="false">
      <c r="A4" s="3" t="n">
        <v>3</v>
      </c>
      <c r="B4" s="3" t="s">
        <v>32</v>
      </c>
      <c r="C4" s="3"/>
      <c r="D4" s="3"/>
      <c r="E4" s="3"/>
      <c r="F4" s="3"/>
      <c r="G4" s="3"/>
      <c r="H4" s="3" t="n">
        <v>5.5</v>
      </c>
      <c r="I4" s="3" t="str">
        <f aca="false">IF(G4="","",IF(G4&gt;=H4,"✓","✗"))</f>
        <v/>
      </c>
      <c r="J4" s="3" t="n">
        <v>70</v>
      </c>
      <c r="K4" s="3"/>
      <c r="L4" s="3"/>
      <c r="M4" s="6"/>
    </row>
    <row r="5" customFormat="false" ht="15" hidden="false" customHeight="false" outlineLevel="0" collapsed="false">
      <c r="A5" s="3" t="n">
        <v>4</v>
      </c>
      <c r="B5" s="3" t="s">
        <v>33</v>
      </c>
      <c r="C5" s="3"/>
      <c r="D5" s="3"/>
      <c r="E5" s="3"/>
      <c r="F5" s="3"/>
      <c r="G5" s="3"/>
      <c r="H5" s="3" t="n">
        <v>6</v>
      </c>
      <c r="I5" s="3" t="str">
        <f aca="false">IF(G5="","",IF(G5&gt;=H5,"✓","✗"))</f>
        <v/>
      </c>
      <c r="J5" s="3" t="n">
        <v>100</v>
      </c>
      <c r="K5" s="3"/>
      <c r="L5" s="3"/>
      <c r="M5" s="6"/>
    </row>
    <row r="6" customFormat="false" ht="15" hidden="false" customHeight="false" outlineLevel="0" collapsed="false">
      <c r="A6" s="3" t="n">
        <v>5</v>
      </c>
      <c r="B6" s="3" t="s">
        <v>34</v>
      </c>
      <c r="C6" s="3"/>
      <c r="D6" s="3"/>
      <c r="E6" s="3"/>
      <c r="F6" s="3"/>
      <c r="G6" s="3"/>
      <c r="H6" s="3" t="n">
        <v>6</v>
      </c>
      <c r="I6" s="3" t="str">
        <f aca="false">IF(G6="","",IF(G6&gt;=H6,"✓","✗"))</f>
        <v/>
      </c>
      <c r="J6" s="3"/>
      <c r="K6" s="3"/>
      <c r="L6" s="3"/>
      <c r="M6" s="6"/>
    </row>
    <row r="7" customFormat="false" ht="15" hidden="false" customHeight="false" outlineLevel="0" collapsed="false">
      <c r="A7" s="3" t="n">
        <v>6</v>
      </c>
      <c r="B7" s="3" t="s">
        <v>35</v>
      </c>
      <c r="C7" s="3"/>
      <c r="D7" s="3"/>
      <c r="E7" s="3"/>
      <c r="F7" s="3"/>
      <c r="G7" s="3"/>
      <c r="H7" s="3" t="n">
        <v>6</v>
      </c>
      <c r="I7" s="3" t="str">
        <f aca="false">IF(G7="","",IF(G7&gt;=H7,"✓","✗"))</f>
        <v/>
      </c>
      <c r="J7" s="3"/>
      <c r="K7" s="3"/>
      <c r="L7" s="3"/>
      <c r="M7" s="6"/>
    </row>
    <row r="8" customFormat="false" ht="15" hidden="false" customHeight="false" outlineLevel="0" collapsed="false">
      <c r="A8" s="3" t="n">
        <v>7</v>
      </c>
      <c r="B8" s="3" t="s">
        <v>36</v>
      </c>
      <c r="C8" s="3"/>
      <c r="D8" s="3"/>
      <c r="E8" s="3"/>
      <c r="F8" s="3"/>
      <c r="G8" s="3"/>
      <c r="H8" s="3" t="n">
        <v>6.5</v>
      </c>
      <c r="I8" s="3" t="str">
        <f aca="false">IF(G8="","",IF(G8&gt;=H8,"✓","✗"))</f>
        <v/>
      </c>
      <c r="J8" s="3"/>
      <c r="K8" s="3"/>
      <c r="L8" s="3"/>
      <c r="M8" s="6"/>
    </row>
    <row r="9" customFormat="false" ht="15" hidden="false" customHeight="false" outlineLevel="0" collapsed="false">
      <c r="A9" s="3" t="n">
        <v>8</v>
      </c>
      <c r="B9" s="3" t="s">
        <v>37</v>
      </c>
      <c r="C9" s="3"/>
      <c r="D9" s="3"/>
      <c r="E9" s="3"/>
      <c r="F9" s="3"/>
      <c r="G9" s="3"/>
      <c r="H9" s="3" t="n">
        <v>6.5</v>
      </c>
      <c r="I9" s="3" t="str">
        <f aca="false">IF(G9="","",IF(G9&gt;=H9,"✓","✗"))</f>
        <v/>
      </c>
      <c r="J9" s="3"/>
      <c r="K9" s="3"/>
      <c r="L9" s="3"/>
      <c r="M9" s="6"/>
    </row>
    <row r="10" customFormat="false" ht="15" hidden="false" customHeight="false" outlineLevel="0" collapsed="false">
      <c r="A10" s="3" t="n">
        <v>9</v>
      </c>
      <c r="B10" s="3" t="s">
        <v>38</v>
      </c>
      <c r="C10" s="3"/>
      <c r="D10" s="3"/>
      <c r="E10" s="3"/>
      <c r="F10" s="3"/>
      <c r="G10" s="3"/>
      <c r="H10" s="3" t="n">
        <v>6.5</v>
      </c>
      <c r="I10" s="3" t="str">
        <f aca="false">IF(G10="","",IF(G10&gt;=H10,"✓","✗"))</f>
        <v/>
      </c>
      <c r="J10" s="3"/>
      <c r="K10" s="3"/>
      <c r="L10" s="3"/>
      <c r="M10" s="6"/>
    </row>
    <row r="11" customFormat="false" ht="15" hidden="false" customHeight="false" outlineLevel="0" collapsed="false">
      <c r="A11" s="3" t="n">
        <v>10</v>
      </c>
      <c r="B11" s="3" t="s">
        <v>39</v>
      </c>
      <c r="C11" s="3"/>
      <c r="D11" s="3"/>
      <c r="E11" s="3"/>
      <c r="F11" s="3"/>
      <c r="G11" s="3"/>
      <c r="H11" s="3" t="n">
        <v>6.5</v>
      </c>
      <c r="I11" s="3" t="str">
        <f aca="false">IF(G11="","",IF(G11&gt;=H11,"✓","✗"))</f>
        <v/>
      </c>
      <c r="J11" s="3"/>
      <c r="K11" s="3"/>
      <c r="L11" s="3"/>
      <c r="M1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6" min="3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15"/>
  </cols>
  <sheetData>
    <row r="1" customFormat="false" ht="15" hidden="false" customHeight="false" outlineLevel="0" collapsed="false">
      <c r="A1" s="1" t="s">
        <v>1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40</v>
      </c>
      <c r="I1" s="1" t="s">
        <v>41</v>
      </c>
    </row>
    <row r="2" customFormat="false" ht="15" hidden="false" customHeight="false" outlineLevel="0" collapsed="false">
      <c r="A2" s="3" t="n">
        <v>1</v>
      </c>
      <c r="B2" s="3"/>
      <c r="C2" s="3"/>
      <c r="D2" s="3"/>
      <c r="E2" s="3"/>
      <c r="F2" s="3"/>
      <c r="G2" s="3"/>
      <c r="H2" s="3" t="n">
        <f aca="false">SUM(B2:G2)</f>
        <v>0</v>
      </c>
      <c r="I2" s="6"/>
    </row>
    <row r="3" customFormat="false" ht="15" hidden="false" customHeight="false" outlineLevel="0" collapsed="false">
      <c r="A3" s="3" t="n">
        <v>2</v>
      </c>
      <c r="B3" s="3"/>
      <c r="C3" s="3"/>
      <c r="D3" s="3"/>
      <c r="E3" s="3"/>
      <c r="F3" s="3"/>
      <c r="G3" s="3"/>
      <c r="H3" s="3" t="n">
        <f aca="false">SUM(B3:G3)</f>
        <v>0</v>
      </c>
      <c r="I3" s="6"/>
    </row>
    <row r="4" customFormat="false" ht="15" hidden="false" customHeight="false" outlineLevel="0" collapsed="false">
      <c r="A4" s="3" t="n">
        <v>3</v>
      </c>
      <c r="B4" s="3"/>
      <c r="C4" s="3"/>
      <c r="D4" s="3"/>
      <c r="E4" s="3"/>
      <c r="F4" s="3"/>
      <c r="G4" s="3"/>
      <c r="H4" s="3" t="n">
        <f aca="false">SUM(B4:G4)</f>
        <v>0</v>
      </c>
      <c r="I4" s="6"/>
    </row>
    <row r="5" customFormat="false" ht="15" hidden="false" customHeight="false" outlineLevel="0" collapsed="false">
      <c r="A5" s="3" t="n">
        <v>4</v>
      </c>
      <c r="B5" s="3"/>
      <c r="C5" s="3"/>
      <c r="D5" s="3"/>
      <c r="E5" s="3"/>
      <c r="F5" s="3"/>
      <c r="G5" s="3"/>
      <c r="H5" s="3" t="n">
        <f aca="false">SUM(B5:G5)</f>
        <v>0</v>
      </c>
      <c r="I5" s="6"/>
    </row>
    <row r="6" customFormat="false" ht="15" hidden="false" customHeight="false" outlineLevel="0" collapsed="false">
      <c r="A6" s="3" t="n">
        <v>5</v>
      </c>
      <c r="B6" s="3"/>
      <c r="C6" s="3"/>
      <c r="D6" s="3"/>
      <c r="E6" s="3"/>
      <c r="F6" s="3"/>
      <c r="G6" s="3"/>
      <c r="H6" s="3" t="n">
        <f aca="false">SUM(B6:G6)</f>
        <v>0</v>
      </c>
      <c r="I6" s="6"/>
    </row>
    <row r="7" customFormat="false" ht="15" hidden="false" customHeight="false" outlineLevel="0" collapsed="false">
      <c r="A7" s="3" t="n">
        <v>6</v>
      </c>
      <c r="B7" s="3"/>
      <c r="C7" s="3"/>
      <c r="D7" s="3"/>
      <c r="E7" s="3"/>
      <c r="F7" s="3"/>
      <c r="G7" s="3"/>
      <c r="H7" s="3" t="n">
        <f aca="false">SUM(B7:G7)</f>
        <v>0</v>
      </c>
      <c r="I7" s="6"/>
    </row>
    <row r="8" customFormat="false" ht="15" hidden="false" customHeight="false" outlineLevel="0" collapsed="false">
      <c r="A8" s="3" t="n">
        <v>7</v>
      </c>
      <c r="B8" s="3"/>
      <c r="C8" s="3"/>
      <c r="D8" s="3"/>
      <c r="E8" s="3"/>
      <c r="F8" s="3"/>
      <c r="G8" s="3"/>
      <c r="H8" s="3" t="n">
        <f aca="false">SUM(B8:G8)</f>
        <v>0</v>
      </c>
      <c r="I8" s="6"/>
    </row>
    <row r="9" customFormat="false" ht="15" hidden="false" customHeight="false" outlineLevel="0" collapsed="false">
      <c r="A9" s="3" t="n">
        <v>8</v>
      </c>
      <c r="B9" s="3"/>
      <c r="C9" s="3"/>
      <c r="D9" s="3"/>
      <c r="E9" s="3"/>
      <c r="F9" s="3"/>
      <c r="G9" s="3"/>
      <c r="H9" s="3" t="n">
        <f aca="false">SUM(B9:G9)</f>
        <v>0</v>
      </c>
      <c r="I9" s="6"/>
    </row>
    <row r="10" customFormat="false" ht="15" hidden="false" customHeight="false" outlineLevel="0" collapsed="false">
      <c r="A10" s="3" t="n">
        <v>9</v>
      </c>
      <c r="B10" s="3"/>
      <c r="C10" s="3"/>
      <c r="D10" s="3"/>
      <c r="E10" s="3"/>
      <c r="F10" s="3"/>
      <c r="G10" s="3"/>
      <c r="H10" s="3" t="n">
        <f aca="false">SUM(B10:G10)</f>
        <v>0</v>
      </c>
      <c r="I10" s="6"/>
    </row>
    <row r="11" customFormat="false" ht="15" hidden="false" customHeight="false" outlineLevel="0" collapsed="false">
      <c r="A11" s="3" t="n">
        <v>10</v>
      </c>
      <c r="B11" s="3"/>
      <c r="C11" s="3"/>
      <c r="D11" s="3"/>
      <c r="E11" s="3"/>
      <c r="F11" s="3"/>
      <c r="G11" s="3"/>
      <c r="H11" s="3" t="n">
        <f aca="false">SUM(B11:G11)</f>
        <v>0</v>
      </c>
      <c r="I1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8" min="5" style="0" width="12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8" t="s">
        <v>42</v>
      </c>
      <c r="B1" s="8" t="s">
        <v>43</v>
      </c>
      <c r="C1" s="8" t="s">
        <v>44</v>
      </c>
      <c r="D1" s="8" t="s">
        <v>45</v>
      </c>
      <c r="E1" s="8" t="s">
        <v>46</v>
      </c>
      <c r="F1" s="9" t="s">
        <v>47</v>
      </c>
      <c r="G1" s="9" t="s">
        <v>48</v>
      </c>
      <c r="H1" s="9" t="s">
        <v>49</v>
      </c>
      <c r="I1" s="8" t="s">
        <v>50</v>
      </c>
    </row>
    <row r="2" customFormat="false" ht="23.85" hidden="false" customHeight="false" outlineLevel="0" collapsed="false">
      <c r="A2" s="10" t="s">
        <v>51</v>
      </c>
      <c r="B2" s="11" t="s">
        <v>52</v>
      </c>
      <c r="C2" s="10" t="s">
        <v>53</v>
      </c>
      <c r="D2" s="11" t="s">
        <v>54</v>
      </c>
      <c r="E2" s="10" t="s">
        <v>55</v>
      </c>
      <c r="F2" s="10"/>
      <c r="G2" s="10"/>
      <c r="H2" s="10"/>
      <c r="I2" s="12" t="s">
        <v>56</v>
      </c>
    </row>
    <row r="3" customFormat="false" ht="23.85" hidden="false" customHeight="false" outlineLevel="0" collapsed="false">
      <c r="A3" s="10" t="s">
        <v>57</v>
      </c>
      <c r="B3" s="11" t="s">
        <v>52</v>
      </c>
      <c r="C3" s="10" t="s">
        <v>58</v>
      </c>
      <c r="D3" s="11" t="s">
        <v>59</v>
      </c>
      <c r="E3" s="10" t="s">
        <v>55</v>
      </c>
      <c r="F3" s="10"/>
      <c r="G3" s="10"/>
      <c r="H3" s="10"/>
      <c r="I3" s="12" t="s">
        <v>56</v>
      </c>
    </row>
    <row r="4" customFormat="false" ht="23.85" hidden="false" customHeight="false" outlineLevel="0" collapsed="false">
      <c r="A4" s="10" t="s">
        <v>60</v>
      </c>
      <c r="B4" s="11" t="s">
        <v>52</v>
      </c>
      <c r="C4" s="10" t="s">
        <v>61</v>
      </c>
      <c r="D4" s="11" t="s">
        <v>62</v>
      </c>
      <c r="E4" s="10" t="s">
        <v>55</v>
      </c>
      <c r="F4" s="10"/>
      <c r="G4" s="10"/>
      <c r="H4" s="10"/>
      <c r="I4" s="12" t="s">
        <v>56</v>
      </c>
    </row>
    <row r="5" customFormat="false" ht="23.85" hidden="false" customHeight="false" outlineLevel="0" collapsed="false">
      <c r="A5" s="10" t="s">
        <v>63</v>
      </c>
      <c r="B5" s="11" t="s">
        <v>52</v>
      </c>
      <c r="C5" s="10" t="s">
        <v>64</v>
      </c>
      <c r="D5" s="11" t="s">
        <v>65</v>
      </c>
      <c r="E5" s="10" t="s">
        <v>55</v>
      </c>
      <c r="F5" s="10"/>
      <c r="G5" s="10"/>
      <c r="H5" s="10"/>
      <c r="I5" s="12" t="s">
        <v>56</v>
      </c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  <c r="I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</row>
  </sheetData>
  <dataValidations count="2">
    <dataValidation allowBlank="true" errorStyle="stop" operator="between" prompt="选择卡住原因" showDropDown="false" showErrorMessage="false" showInputMessage="false" sqref="D2:D55" type="list">
      <formula1>"弱读,连读,吞音,生词,复合词不熟,短语不熟,脑补错误,语速太快"</formula1>
      <formula2>0</formula2>
    </dataValidation>
    <dataValidation allowBlank="true" errorStyle="stop" operator="between" prompt="更新复习状态" showDropDown="false" showErrorMessage="false" showInputMessage="false" sqref="I2:I55" type="list">
      <formula1>"待复习,已复习D+1,已复习D+7,已复习D+30,已消化,顽固卡点"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0"/>
  </cols>
  <sheetData>
    <row r="1" customFormat="false" ht="17.9" hidden="false" customHeight="false" outlineLevel="0" collapsed="false">
      <c r="A1" s="14" t="s">
        <v>66</v>
      </c>
    </row>
    <row r="2" customFormat="false" ht="15" hidden="false" customHeight="false" outlineLevel="0" collapsed="false">
      <c r="A2" s="15"/>
    </row>
    <row r="3" customFormat="false" ht="14.9" hidden="false" customHeight="false" outlineLevel="0" collapsed="false">
      <c r="A3" s="16" t="s">
        <v>67</v>
      </c>
    </row>
    <row r="4" customFormat="false" ht="14.9" hidden="false" customHeight="false" outlineLevel="0" collapsed="false">
      <c r="A4" s="17" t="s">
        <v>68</v>
      </c>
    </row>
    <row r="5" customFormat="false" ht="14.9" hidden="false" customHeight="false" outlineLevel="0" collapsed="false">
      <c r="A5" s="17" t="s">
        <v>69</v>
      </c>
    </row>
    <row r="6" customFormat="false" ht="15" hidden="false" customHeight="false" outlineLevel="0" collapsed="false">
      <c r="A6" s="15"/>
    </row>
    <row r="7" customFormat="false" ht="14.9" hidden="false" customHeight="false" outlineLevel="0" collapsed="false">
      <c r="A7" s="16" t="s">
        <v>70</v>
      </c>
    </row>
    <row r="8" customFormat="false" ht="15" hidden="false" customHeight="false" outlineLevel="0" collapsed="false">
      <c r="A8" s="17" t="s">
        <v>71</v>
      </c>
    </row>
    <row r="9" customFormat="false" ht="14.9" hidden="false" customHeight="false" outlineLevel="0" collapsed="false">
      <c r="A9" s="17" t="s">
        <v>72</v>
      </c>
    </row>
    <row r="10" customFormat="false" ht="15" hidden="false" customHeight="false" outlineLevel="0" collapsed="false">
      <c r="A10" s="15"/>
    </row>
    <row r="11" customFormat="false" ht="14.9" hidden="false" customHeight="false" outlineLevel="0" collapsed="false">
      <c r="A11" s="16" t="s">
        <v>73</v>
      </c>
    </row>
    <row r="12" customFormat="false" ht="14.9" hidden="false" customHeight="false" outlineLevel="0" collapsed="false">
      <c r="A12" s="17" t="s">
        <v>74</v>
      </c>
    </row>
    <row r="13" customFormat="false" ht="14.9" hidden="false" customHeight="false" outlineLevel="0" collapsed="false">
      <c r="A13" s="17" t="s">
        <v>75</v>
      </c>
    </row>
    <row r="14" customFormat="false" ht="15" hidden="false" customHeight="false" outlineLevel="0" collapsed="false">
      <c r="A14" s="15"/>
    </row>
    <row r="15" customFormat="false" ht="15" hidden="false" customHeight="false" outlineLevel="0" collapsed="false">
      <c r="A15" s="16" t="s">
        <v>76</v>
      </c>
    </row>
    <row r="16" customFormat="false" ht="14.9" hidden="false" customHeight="false" outlineLevel="0" collapsed="false">
      <c r="A16" s="15" t="s">
        <v>77</v>
      </c>
    </row>
    <row r="17" customFormat="false" ht="14.9" hidden="false" customHeight="false" outlineLevel="0" collapsed="false">
      <c r="A17" s="15" t="s">
        <v>78</v>
      </c>
    </row>
    <row r="18" customFormat="false" ht="14.9" hidden="false" customHeight="false" outlineLevel="0" collapsed="false">
      <c r="A18" s="15" t="s">
        <v>79</v>
      </c>
    </row>
    <row r="19" customFormat="false" ht="14.9" hidden="false" customHeight="false" outlineLevel="0" collapsed="false">
      <c r="A19" s="15" t="s">
        <v>80</v>
      </c>
    </row>
    <row r="21" customFormat="false" ht="12.65" hidden="false" customHeight="false" outlineLevel="0" collapsed="false">
      <c r="A21" s="18" t="s">
        <v>81</v>
      </c>
    </row>
    <row r="22" customFormat="false" ht="15" hidden="false" customHeight="false" outlineLevel="0" collapsed="false">
      <c r="A22" s="18" t="s">
        <v>82</v>
      </c>
    </row>
    <row r="23" customFormat="false" ht="12.65" hidden="false" customHeight="false" outlineLevel="0" collapsed="false">
      <c r="A23" s="19" t="s">
        <v>83</v>
      </c>
    </row>
    <row r="24" customFormat="false" ht="12.65" hidden="false" customHeight="false" outlineLevel="0" collapsed="false">
      <c r="A24" s="19" t="s">
        <v>84</v>
      </c>
    </row>
    <row r="25" customFormat="false" ht="12.65" hidden="false" customHeight="false" outlineLevel="0" collapsed="false">
      <c r="A25" s="19" t="s">
        <v>85</v>
      </c>
    </row>
    <row r="26" customFormat="false" ht="12.65" hidden="false" customHeight="false" outlineLevel="0" collapsed="false">
      <c r="A26" s="19" t="s">
        <v>86</v>
      </c>
    </row>
    <row r="27" customFormat="false" ht="12.65" hidden="false" customHeight="false" outlineLevel="0" collapsed="false">
      <c r="A27" s="19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2026-04-03T15:18:12Z</dcterms:created>
  <dc:creator>openpyxl</dc:creator>
  <dc:description/>
  <dc:language>en-US</dc:language>
  <cp:lastModifiedBy/>
  <dcterms:modified xsi:type="dcterms:W3CDTF">2026-04-03T16:56:42Z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